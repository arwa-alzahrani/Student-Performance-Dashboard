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bc11d47c0e4faea7/Documents/"/>
    </mc:Choice>
  </mc:AlternateContent>
  <xr:revisionPtr revIDLastSave="0" documentId="8_{BF2EA2A2-B684-4799-8281-984438E6DC28}" xr6:coauthVersionLast="47" xr6:coauthVersionMax="47" xr10:uidLastSave="{00000000-0000-0000-0000-000000000000}"/>
  <bookViews>
    <workbookView xWindow="-108" yWindow="-108" windowWidth="23256" windowHeight="12456" activeTab="1" xr2:uid="{060C1504-875B-4DC9-903A-EE4B2C38CF48}"/>
  </bookViews>
  <sheets>
    <sheet name="Raw_Data" sheetId="1" r:id="rId1"/>
    <sheet name="Clean_Data" sheetId="2" r:id="rId2"/>
    <sheet name="Dashboard" sheetId="8" r:id="rId3"/>
  </sheets>
  <definedNames>
    <definedName name="Slicer_Dept">#N/A</definedName>
  </definedNames>
  <calcPr calcId="191029"/>
  <fileRecoveryPr repairLoad="1"/>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2" i="2"/>
</calcChain>
</file>

<file path=xl/sharedStrings.xml><?xml version="1.0" encoding="utf-8"?>
<sst xmlns="http://schemas.openxmlformats.org/spreadsheetml/2006/main" count="163" uniqueCount="82">
  <si>
    <t>ID</t>
  </si>
  <si>
    <t>Name</t>
  </si>
  <si>
    <t>Dept</t>
  </si>
  <si>
    <t>Math</t>
  </si>
  <si>
    <t>English</t>
  </si>
  <si>
    <t>Programming</t>
  </si>
  <si>
    <t>Database</t>
  </si>
  <si>
    <t>Sara</t>
  </si>
  <si>
    <t>Noura</t>
  </si>
  <si>
    <t>Reem</t>
  </si>
  <si>
    <t>Lina</t>
  </si>
  <si>
    <t>Hala</t>
  </si>
  <si>
    <t>Maha</t>
  </si>
  <si>
    <t>Rana</t>
  </si>
  <si>
    <t>Alya</t>
  </si>
  <si>
    <t>Dana</t>
  </si>
  <si>
    <t>Rania</t>
  </si>
  <si>
    <t>Layan</t>
  </si>
  <si>
    <t>Hind</t>
  </si>
  <si>
    <t>Noor</t>
  </si>
  <si>
    <t>Yara</t>
  </si>
  <si>
    <t>Amal</t>
  </si>
  <si>
    <t>Afnan</t>
  </si>
  <si>
    <t>Abeer</t>
  </si>
  <si>
    <t>Hessa</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</si>
  <si>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</si>
  <si>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</si>
  <si>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</si>
  <si>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</si>
  <si>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</si>
  <si>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</si>
  <si>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</si>
  <si>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</si>
  <si>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</si>
  <si>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</si>
  <si>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</si>
  <si>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</si>
  <si>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</si>
  <si>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</si>
  <si>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</si>
  <si>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</si>
  <si>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</si>
  <si>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</si>
  <si>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</si>
  <si>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</si>
  <si>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</si>
  <si>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</si>
  <si>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</si>
  <si>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</si>
  <si>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</si>
  <si>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</si>
  <si>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</si>
  <si>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</si>
  <si>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</si>
  <si>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</si>
  <si>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</si>
  <si>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</si>
  <si>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</si>
  <si>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</si>
  <si>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</si>
  <si>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</si>
  <si>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</si>
  <si>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</si>
  <si>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</si>
  <si>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</si>
  <si>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</si>
  <si>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</si>
  <si>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</si>
  <si>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</si>
  <si>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</si>
  <si>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</si>
  <si>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</si>
  <si>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</si>
  <si>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</si>
  <si>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</si>
  <si>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CS</t>
  </si>
  <si>
    <t>IT</t>
  </si>
  <si>
    <t>SE</t>
  </si>
  <si>
    <t>Total</t>
  </si>
  <si>
    <t>Average</t>
  </si>
  <si>
    <t>Grade</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</si>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</sst>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Grade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75000"/>
            </a:schemeClr>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51B6-4377-A24A-41D26BAD73FB}"/>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51B6-4377-A24A-41D26BAD73FB}"/>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51B6-4377-A24A-41D26BAD73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Very Good</c:v>
              </c:pt>
              <c:pt idx="1">
                <c:v>Good</c:v>
              </c:pt>
              <c:pt idx="2">
                <c:v>Pass</c:v>
              </c:pt>
            </c:strLit>
          </c:cat>
          <c:val>
            <c:numLit>
              <c:formatCode>General</c:formatCode>
              <c:ptCount val="3"/>
              <c:pt idx="0">
                <c:v>23</c:v>
              </c:pt>
              <c:pt idx="1">
                <c:v>21</c:v>
              </c:pt>
              <c:pt idx="2">
                <c:v>6</c:v>
              </c:pt>
            </c:numLit>
          </c:val>
          <c:extLst>
            <c:ext xmlns:c16="http://schemas.microsoft.com/office/drawing/2014/chart" uri="{C3380CC4-5D6E-409C-BE32-E72D297353CC}">
              <c16:uniqueId val="{00000000-51B6-4377-A24A-41D26BAD73FB}"/>
            </c:ext>
          </c:extLst>
        </c:ser>
        <c:dLbls>
          <c:dLblPos val="outEnd"/>
          <c:showLegendKey val="0"/>
          <c:showVal val="1"/>
          <c:showCatName val="0"/>
          <c:showSerName val="0"/>
          <c:showPercent val="0"/>
          <c:showBubbleSize val="0"/>
        </c:dLbls>
        <c:gapWidth val="219"/>
        <c:overlap val="-27"/>
        <c:axId val="1501348496"/>
        <c:axId val="36634608"/>
      </c:barChart>
      <c:catAx>
        <c:axId val="150134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34608"/>
        <c:crosses val="autoZero"/>
        <c:auto val="1"/>
        <c:lblAlgn val="ctr"/>
        <c:lblOffset val="100"/>
        <c:noMultiLvlLbl val="0"/>
      </c:catAx>
      <c:valAx>
        <c:axId val="36634608"/>
        <c:scaling>
          <c:orientation val="minMax"/>
        </c:scaling>
        <c:delete val="1"/>
        <c:axPos val="l"/>
        <c:numFmt formatCode="General" sourceLinked="1"/>
        <c:majorTickMark val="none"/>
        <c:minorTickMark val="none"/>
        <c:tickLblPos val="nextTo"/>
        <c:crossAx val="15013484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Overall Average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1.0185067526415994E-16"/>
              <c:y val="0.3842592592592591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5F27-4564-B30A-75B6B79204DC}"/>
              </c:ext>
            </c:extLst>
          </c:dPt>
          <c:dLbls>
            <c:dLbl>
              <c:idx val="0"/>
              <c:layout>
                <c:manualLayout>
                  <c:x val="-1.0185067526415994E-16"/>
                  <c:y val="0.3842592592592591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27-4564-B30A-75B6B79204DC}"/>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78.605000000000004</c:v>
              </c:pt>
            </c:numLit>
          </c:val>
          <c:extLst>
            <c:ext xmlns:c16="http://schemas.microsoft.com/office/drawing/2014/chart" uri="{C3380CC4-5D6E-409C-BE32-E72D297353CC}">
              <c16:uniqueId val="{00000000-5F27-4564-B30A-75B6B79204DC}"/>
            </c:ext>
          </c:extLst>
        </c:ser>
        <c:dLbls>
          <c:showLegendKey val="0"/>
          <c:showVal val="0"/>
          <c:showCatName val="0"/>
          <c:showSerName val="0"/>
          <c:showPercent val="0"/>
          <c:showBubbleSize val="0"/>
        </c:dLbls>
        <c:gapWidth val="219"/>
        <c:overlap val="-27"/>
        <c:axId val="1525473472"/>
        <c:axId val="1521562800"/>
      </c:barChart>
      <c:catAx>
        <c:axId val="1525473472"/>
        <c:scaling>
          <c:orientation val="minMax"/>
        </c:scaling>
        <c:delete val="1"/>
        <c:axPos val="b"/>
        <c:numFmt formatCode="General" sourceLinked="1"/>
        <c:majorTickMark val="none"/>
        <c:minorTickMark val="none"/>
        <c:tickLblPos val="nextTo"/>
        <c:crossAx val="1521562800"/>
        <c:crosses val="autoZero"/>
        <c:auto val="1"/>
        <c:lblAlgn val="ctr"/>
        <c:lblOffset val="100"/>
        <c:noMultiLvlLbl val="0"/>
      </c:catAx>
      <c:valAx>
        <c:axId val="1521562800"/>
        <c:scaling>
          <c:orientation val="minMax"/>
        </c:scaling>
        <c:delete val="1"/>
        <c:axPos val="l"/>
        <c:numFmt formatCode="General" sourceLinked="1"/>
        <c:majorTickMark val="none"/>
        <c:minorTickMark val="none"/>
        <c:tickLblPos val="nextTo"/>
        <c:crossAx val="152547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 5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Sara</c:v>
              </c:pt>
              <c:pt idx="1">
                <c:v>Hessa</c:v>
              </c:pt>
              <c:pt idx="2">
                <c:v>Maha</c:v>
              </c:pt>
              <c:pt idx="3">
                <c:v>Dana</c:v>
              </c:pt>
              <c:pt idx="4">
                <c:v>Noor</c:v>
              </c:pt>
            </c:strLit>
          </c:cat>
          <c:val>
            <c:numLit>
              <c:formatCode>General</c:formatCode>
              <c:ptCount val="5"/>
              <c:pt idx="0">
                <c:v>89</c:v>
              </c:pt>
              <c:pt idx="1">
                <c:v>84.083333333333329</c:v>
              </c:pt>
              <c:pt idx="2">
                <c:v>84</c:v>
              </c:pt>
              <c:pt idx="3">
                <c:v>83</c:v>
              </c:pt>
              <c:pt idx="4">
                <c:v>81.25</c:v>
              </c:pt>
            </c:numLit>
          </c:val>
          <c:extLst>
            <c:ext xmlns:c16="http://schemas.microsoft.com/office/drawing/2014/chart" uri="{C3380CC4-5D6E-409C-BE32-E72D297353CC}">
              <c16:uniqueId val="{00000000-CAE4-4E6A-B232-EC5A98A1B48D}"/>
            </c:ext>
          </c:extLst>
        </c:ser>
        <c:dLbls>
          <c:dLblPos val="outEnd"/>
          <c:showLegendKey val="0"/>
          <c:showVal val="1"/>
          <c:showCatName val="0"/>
          <c:showSerName val="0"/>
          <c:showPercent val="0"/>
          <c:showBubbleSize val="0"/>
        </c:dLbls>
        <c:gapWidth val="219"/>
        <c:overlap val="-27"/>
        <c:axId val="1595380784"/>
        <c:axId val="1596816384"/>
      </c:barChart>
      <c:catAx>
        <c:axId val="159538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816384"/>
        <c:crosses val="autoZero"/>
        <c:auto val="1"/>
        <c:lblAlgn val="ctr"/>
        <c:lblOffset val="100"/>
        <c:noMultiLvlLbl val="0"/>
      </c:catAx>
      <c:valAx>
        <c:axId val="1596816384"/>
        <c:scaling>
          <c:orientation val="minMax"/>
        </c:scaling>
        <c:delete val="1"/>
        <c:axPos val="l"/>
        <c:numFmt formatCode="General" sourceLinked="1"/>
        <c:majorTickMark val="none"/>
        <c:minorTickMark val="none"/>
        <c:tickLblPos val="nextTo"/>
        <c:crossAx val="159538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441960</xdr:colOff>
      <xdr:row>18</xdr:row>
      <xdr:rowOff>106680</xdr:rowOff>
    </xdr:from>
    <xdr:to>
      <xdr:col>17</xdr:col>
      <xdr:colOff>563880</xdr:colOff>
      <xdr:row>23</xdr:row>
      <xdr:rowOff>99060</xdr:rowOff>
    </xdr:to>
    <xdr:sp macro="" textlink="">
      <xdr:nvSpPr>
        <xdr:cNvPr id="5" name="TextBox 4">
          <a:extLst>
            <a:ext uri="{FF2B5EF4-FFF2-40B4-BE49-F238E27FC236}">
              <a16:creationId xmlns:a16="http://schemas.microsoft.com/office/drawing/2014/main" id="{4899D8B4-2354-E636-0C9A-0D7A4A9669DD}"/>
            </a:ext>
            <a:ext uri="{C183D7F6-B498-43B3-948B-1728B52AA6E4}">
              <adec:decorative xmlns:adec="http://schemas.microsoft.com/office/drawing/2017/decorative" val="0"/>
            </a:ext>
          </a:extLst>
        </xdr:cNvPr>
        <xdr:cNvSpPr txBox="1"/>
      </xdr:nvSpPr>
      <xdr:spPr>
        <a:xfrm>
          <a:off x="6537960" y="3398520"/>
          <a:ext cx="4389120"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lumMod val="75000"/>
                </a:schemeClr>
              </a:solidFill>
            </a:rPr>
            <a:t>Insights</a:t>
          </a:r>
        </a:p>
        <a:p>
          <a:r>
            <a:rPr lang="en-US" sz="1200">
              <a:solidFill>
                <a:schemeClr val="accent1">
                  <a:lumMod val="75000"/>
                </a:schemeClr>
              </a:solidFill>
            </a:rPr>
            <a:t>- Highest</a:t>
          </a:r>
          <a:r>
            <a:rPr lang="en-US" sz="1200" baseline="0">
              <a:solidFill>
                <a:schemeClr val="accent1">
                  <a:lumMod val="75000"/>
                </a:schemeClr>
              </a:solidFill>
            </a:rPr>
            <a:t> performing student</a:t>
          </a:r>
        </a:p>
        <a:p>
          <a:r>
            <a:rPr lang="en-US" sz="1200" baseline="0">
              <a:solidFill>
                <a:schemeClr val="accent1">
                  <a:lumMod val="75000"/>
                </a:schemeClr>
              </a:solidFill>
            </a:rPr>
            <a:t>- Average score by department</a:t>
          </a:r>
        </a:p>
        <a:p>
          <a:r>
            <a:rPr lang="en-US" sz="1200" baseline="0">
              <a:solidFill>
                <a:schemeClr val="accent1">
                  <a:lumMod val="75000"/>
                </a:schemeClr>
              </a:solidFill>
            </a:rPr>
            <a:t>- Grade distribution across all students</a:t>
          </a:r>
          <a:endParaRPr lang="en-US" sz="1200">
            <a:solidFill>
              <a:schemeClr val="accent1">
                <a:lumMod val="75000"/>
              </a:schemeClr>
            </a:solidFill>
          </a:endParaRPr>
        </a:p>
      </xdr:txBody>
    </xdr:sp>
    <xdr:clientData/>
  </xdr:twoCellAnchor>
  <xdr:twoCellAnchor>
    <xdr:from>
      <xdr:col>3</xdr:col>
      <xdr:colOff>335280</xdr:colOff>
      <xdr:row>3</xdr:row>
      <xdr:rowOff>0</xdr:rowOff>
    </xdr:from>
    <xdr:to>
      <xdr:col>10</xdr:col>
      <xdr:colOff>182880</xdr:colOff>
      <xdr:row>17</xdr:row>
      <xdr:rowOff>0</xdr:rowOff>
    </xdr:to>
    <xdr:graphicFrame macro="">
      <xdr:nvGraphicFramePr>
        <xdr:cNvPr id="6" name="Chart 5">
          <a:extLst>
            <a:ext uri="{FF2B5EF4-FFF2-40B4-BE49-F238E27FC236}">
              <a16:creationId xmlns:a16="http://schemas.microsoft.com/office/drawing/2014/main" id="{3E3450A0-DCBC-411A-907B-A42F1EAA6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441960</xdr:colOff>
      <xdr:row>3</xdr:row>
      <xdr:rowOff>0</xdr:rowOff>
    </xdr:from>
    <xdr:to>
      <xdr:col>17</xdr:col>
      <xdr:colOff>563880</xdr:colOff>
      <xdr:row>17</xdr:row>
      <xdr:rowOff>0</xdr:rowOff>
    </xdr:to>
    <xdr:graphicFrame macro="">
      <xdr:nvGraphicFramePr>
        <xdr:cNvPr id="7" name="Chart 6">
          <a:extLst>
            <a:ext uri="{FF2B5EF4-FFF2-40B4-BE49-F238E27FC236}">
              <a16:creationId xmlns:a16="http://schemas.microsoft.com/office/drawing/2014/main" id="{286066F9-112B-4CA3-A608-AFB82D3E0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335280</xdr:colOff>
      <xdr:row>18</xdr:row>
      <xdr:rowOff>99060</xdr:rowOff>
    </xdr:from>
    <xdr:to>
      <xdr:col>10</xdr:col>
      <xdr:colOff>182880</xdr:colOff>
      <xdr:row>32</xdr:row>
      <xdr:rowOff>99060</xdr:rowOff>
    </xdr:to>
    <xdr:graphicFrame macro="">
      <xdr:nvGraphicFramePr>
        <xdr:cNvPr id="8" name="Chart 7">
          <a:extLst>
            <a:ext uri="{FF2B5EF4-FFF2-40B4-BE49-F238E27FC236}">
              <a16:creationId xmlns:a16="http://schemas.microsoft.com/office/drawing/2014/main" id="{AF0F5A7B-E066-4146-A797-EA37DD6D5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3</xdr:row>
      <xdr:rowOff>0</xdr:rowOff>
    </xdr:from>
    <xdr:to>
      <xdr:col>3</xdr:col>
      <xdr:colOff>53340</xdr:colOff>
      <xdr:row>16</xdr:row>
      <xdr:rowOff>182879</xdr:rowOff>
    </xdr:to>
    <mc:AlternateContent xmlns:mc="http://schemas.openxmlformats.org/markup-compatibility/2006">
      <mc:Choice xmlns:a14="http://schemas.microsoft.com/office/drawing/2010/main" Requires="a14">
        <xdr:graphicFrame macro="">
          <xdr:nvGraphicFramePr>
            <xdr:cNvPr id="9" name="Dept 1">
              <a:extLst>
                <a:ext uri="{FF2B5EF4-FFF2-40B4-BE49-F238E27FC236}">
                  <a16:creationId xmlns:a16="http://schemas.microsoft.com/office/drawing/2014/main" id="{D0B828CF-4DE1-44FE-B8A6-302A64FF695F}"/>
                </a:ext>
              </a:extLst>
            </xdr:cNvPr>
            <xdr:cNvGraphicFramePr/>
          </xdr:nvGraphicFramePr>
          <xdr:xfrm>
            <a:off x="0" y="0"/>
            <a:ext cx="0" cy="0"/>
          </xdr:xfrm>
          <a:graphic>
            <a:graphicData uri="http://schemas.microsoft.com/office/drawing/2010/slicer">
              <sle:slicer xmlns:sle="http://schemas.microsoft.com/office/drawing/2010/slicer" name="Dept 1"/>
            </a:graphicData>
          </a:graphic>
        </xdr:graphicFrame>
      </mc:Choice>
      <mc:Fallback>
        <xdr:sp macro="" textlink="">
          <xdr:nvSpPr>
            <xdr:cNvPr id="0" name=""/>
            <xdr:cNvSpPr>
              <a:spLocks noTextEdit="1"/>
            </xdr:cNvSpPr>
          </xdr:nvSpPr>
          <xdr:spPr>
            <a:xfrm>
              <a:off x="60960" y="548640"/>
              <a:ext cx="1821180" cy="2560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15240</xdr:rowOff>
    </xdr:from>
    <xdr:to>
      <xdr:col>17</xdr:col>
      <xdr:colOff>556260</xdr:colOff>
      <xdr:row>2</xdr:row>
      <xdr:rowOff>53340</xdr:rowOff>
    </xdr:to>
    <xdr:sp macro="" textlink="">
      <xdr:nvSpPr>
        <xdr:cNvPr id="2" name="Rectangle 1">
          <a:extLst>
            <a:ext uri="{FF2B5EF4-FFF2-40B4-BE49-F238E27FC236}">
              <a16:creationId xmlns:a16="http://schemas.microsoft.com/office/drawing/2014/main" id="{BA553FEC-E3E5-4944-36B4-E824D659CBE5}"/>
            </a:ext>
          </a:extLst>
        </xdr:cNvPr>
        <xdr:cNvSpPr/>
      </xdr:nvSpPr>
      <xdr:spPr>
        <a:xfrm>
          <a:off x="0" y="15240"/>
          <a:ext cx="10919460" cy="403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t>Student</a:t>
          </a:r>
          <a:r>
            <a:rPr lang="en-GB" sz="2400" b="1" baseline="0"/>
            <a:t> Performance </a:t>
          </a:r>
          <a:r>
            <a:rPr lang="en-US" sz="2400" b="1" baseline="0"/>
            <a:t>Dashboard</a:t>
          </a:r>
          <a:endParaRPr lang="en-GB" sz="2400" b="1"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wa ali" refreshedDate="46054.994404398145" createdVersion="8" refreshedVersion="8" minRefreshableVersion="3" recordCount="50" xr:uid="{7F58315C-EBA0-47F2-8D5C-1FCDC6DB2C5E}">
  <cacheSource type="worksheet">
    <worksheetSource ref="A1:E51" sheet="Clean_Data"/>
  </cacheSource>
  <cacheFields count="5">
    <cacheField name="Name" numFmtId="0">
      <sharedItems count="18">
        <s v="Hessa"/>
        <s v="Reem"/>
        <s v="Alya"/>
        <s v="Amal"/>
        <s v="Hala"/>
        <s v="Lina"/>
        <s v="Yara"/>
        <s v="Hind"/>
        <s v="Afnan"/>
        <s v="Maha"/>
        <s v="Layan"/>
        <s v="Rana"/>
        <s v="Dana"/>
        <s v="Noura"/>
        <s v="Noor"/>
        <s v="Rania"/>
        <s v="Abeer"/>
        <s v="Sara"/>
      </sharedItems>
    </cacheField>
    <cacheField name="Total" numFmtId="0">
      <sharedItems containsSemiMixedTypes="0" containsString="0" containsNumber="1" containsInteger="1" minValue="249" maxValue="356"/>
    </cacheField>
    <cacheField name="Average" numFmtId="0">
      <sharedItems containsSemiMixedTypes="0" containsString="0" containsNumber="1" minValue="62.25" maxValue="89"/>
    </cacheField>
    <cacheField name="Grade" numFmtId="0">
      <sharedItems count="3">
        <s v="Very Good"/>
        <s v="Good"/>
        <s v="Pass"/>
      </sharedItems>
    </cacheField>
    <cacheField name="Dept" numFmtId="0">
      <sharedItems count="3">
        <s v="CS"/>
        <s v="IT"/>
        <s v="SE"/>
      </sharedItems>
    </cacheField>
  </cacheFields>
  <extLst>
    <ext xmlns:x14="http://schemas.microsoft.com/office/spreadsheetml/2009/9/main" uri="{725AE2AE-9491-48be-B2B4-4EB974FC3084}">
      <x14:pivotCacheDefinition pivotCacheId="900716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342"/>
    <n v="85.5"/>
    <x v="0"/>
    <x v="0"/>
  </r>
  <r>
    <x v="1"/>
    <n v="315"/>
    <n v="78.75"/>
    <x v="1"/>
    <x v="0"/>
  </r>
  <r>
    <x v="2"/>
    <n v="342"/>
    <n v="85.5"/>
    <x v="0"/>
    <x v="1"/>
  </r>
  <r>
    <x v="3"/>
    <n v="306"/>
    <n v="76.5"/>
    <x v="1"/>
    <x v="0"/>
  </r>
  <r>
    <x v="2"/>
    <n v="256"/>
    <n v="64"/>
    <x v="2"/>
    <x v="2"/>
  </r>
  <r>
    <x v="4"/>
    <n v="327"/>
    <n v="81.75"/>
    <x v="0"/>
    <x v="0"/>
  </r>
  <r>
    <x v="5"/>
    <n v="275"/>
    <n v="68.75"/>
    <x v="2"/>
    <x v="1"/>
  </r>
  <r>
    <x v="6"/>
    <n v="347"/>
    <n v="86.75"/>
    <x v="0"/>
    <x v="1"/>
  </r>
  <r>
    <x v="5"/>
    <n v="320"/>
    <n v="80"/>
    <x v="0"/>
    <x v="1"/>
  </r>
  <r>
    <x v="7"/>
    <n v="306"/>
    <n v="76.5"/>
    <x v="1"/>
    <x v="2"/>
  </r>
  <r>
    <x v="6"/>
    <n v="265"/>
    <n v="66.25"/>
    <x v="2"/>
    <x v="0"/>
  </r>
  <r>
    <x v="8"/>
    <n v="307"/>
    <n v="76.75"/>
    <x v="1"/>
    <x v="1"/>
  </r>
  <r>
    <x v="9"/>
    <n v="336"/>
    <n v="84"/>
    <x v="0"/>
    <x v="1"/>
  </r>
  <r>
    <x v="10"/>
    <n v="304"/>
    <n v="76"/>
    <x v="1"/>
    <x v="1"/>
  </r>
  <r>
    <x v="10"/>
    <n v="338"/>
    <n v="84.5"/>
    <x v="0"/>
    <x v="0"/>
  </r>
  <r>
    <x v="11"/>
    <n v="292"/>
    <n v="73"/>
    <x v="1"/>
    <x v="2"/>
  </r>
  <r>
    <x v="10"/>
    <n v="303"/>
    <n v="75.75"/>
    <x v="1"/>
    <x v="0"/>
  </r>
  <r>
    <x v="12"/>
    <n v="332"/>
    <n v="83"/>
    <x v="0"/>
    <x v="0"/>
  </r>
  <r>
    <x v="13"/>
    <n v="312"/>
    <n v="78"/>
    <x v="1"/>
    <x v="2"/>
  </r>
  <r>
    <x v="14"/>
    <n v="296"/>
    <n v="74"/>
    <x v="1"/>
    <x v="0"/>
  </r>
  <r>
    <x v="11"/>
    <n v="290"/>
    <n v="72.5"/>
    <x v="1"/>
    <x v="2"/>
  </r>
  <r>
    <x v="15"/>
    <n v="269"/>
    <n v="67.25"/>
    <x v="2"/>
    <x v="1"/>
  </r>
  <r>
    <x v="11"/>
    <n v="335"/>
    <n v="83.75"/>
    <x v="0"/>
    <x v="1"/>
  </r>
  <r>
    <x v="15"/>
    <n v="355"/>
    <n v="88.75"/>
    <x v="0"/>
    <x v="0"/>
  </r>
  <r>
    <x v="16"/>
    <n v="276"/>
    <n v="69"/>
    <x v="2"/>
    <x v="1"/>
  </r>
  <r>
    <x v="4"/>
    <n v="314"/>
    <n v="78.5"/>
    <x v="1"/>
    <x v="0"/>
  </r>
  <r>
    <x v="14"/>
    <n v="354"/>
    <n v="88.5"/>
    <x v="0"/>
    <x v="0"/>
  </r>
  <r>
    <x v="4"/>
    <n v="308"/>
    <n v="77"/>
    <x v="1"/>
    <x v="2"/>
  </r>
  <r>
    <x v="1"/>
    <n v="287"/>
    <n v="71.75"/>
    <x v="1"/>
    <x v="2"/>
  </r>
  <r>
    <x v="15"/>
    <n v="338"/>
    <n v="84.5"/>
    <x v="0"/>
    <x v="1"/>
  </r>
  <r>
    <x v="15"/>
    <n v="297"/>
    <n v="74.25"/>
    <x v="1"/>
    <x v="0"/>
  </r>
  <r>
    <x v="15"/>
    <n v="327"/>
    <n v="81.75"/>
    <x v="0"/>
    <x v="1"/>
  </r>
  <r>
    <x v="4"/>
    <n v="349"/>
    <n v="87.25"/>
    <x v="0"/>
    <x v="0"/>
  </r>
  <r>
    <x v="2"/>
    <n v="315"/>
    <n v="78.75"/>
    <x v="1"/>
    <x v="1"/>
  </r>
  <r>
    <x v="0"/>
    <n v="324"/>
    <n v="81"/>
    <x v="0"/>
    <x v="1"/>
  </r>
  <r>
    <x v="1"/>
    <n v="296"/>
    <n v="74"/>
    <x v="1"/>
    <x v="2"/>
  </r>
  <r>
    <x v="17"/>
    <n v="356"/>
    <n v="89"/>
    <x v="0"/>
    <x v="1"/>
  </r>
  <r>
    <x v="3"/>
    <n v="310"/>
    <n v="77.5"/>
    <x v="1"/>
    <x v="0"/>
  </r>
  <r>
    <x v="4"/>
    <n v="326"/>
    <n v="81.5"/>
    <x v="0"/>
    <x v="2"/>
  </r>
  <r>
    <x v="3"/>
    <n v="314"/>
    <n v="78.5"/>
    <x v="1"/>
    <x v="2"/>
  </r>
  <r>
    <x v="7"/>
    <n v="319"/>
    <n v="79.75"/>
    <x v="1"/>
    <x v="1"/>
  </r>
  <r>
    <x v="6"/>
    <n v="327"/>
    <n v="81.75"/>
    <x v="0"/>
    <x v="2"/>
  </r>
  <r>
    <x v="15"/>
    <n v="317"/>
    <n v="79.25"/>
    <x v="1"/>
    <x v="2"/>
  </r>
  <r>
    <x v="15"/>
    <n v="351"/>
    <n v="87.75"/>
    <x v="0"/>
    <x v="2"/>
  </r>
  <r>
    <x v="4"/>
    <n v="249"/>
    <n v="62.25"/>
    <x v="2"/>
    <x v="0"/>
  </r>
  <r>
    <x v="2"/>
    <n v="320"/>
    <n v="80"/>
    <x v="0"/>
    <x v="0"/>
  </r>
  <r>
    <x v="0"/>
    <n v="343"/>
    <n v="85.75"/>
    <x v="0"/>
    <x v="2"/>
  </r>
  <r>
    <x v="16"/>
    <n v="322"/>
    <n v="80.5"/>
    <x v="0"/>
    <x v="1"/>
  </r>
  <r>
    <x v="6"/>
    <n v="322"/>
    <n v="80.5"/>
    <x v="0"/>
    <x v="2"/>
  </r>
  <r>
    <x v="6"/>
    <n v="290"/>
    <n v="72.5"/>
    <x v="1"/>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E6D2C8A4-A6FB-413A-A690-4E297C0D6980}" sourceName="Dept">
  <data>
    <tabular pivotCacheId="90071649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1" xr10:uid="{DFBF7FFF-2256-4776-AF71-EDC264F21693}" cache="Slicer_Dept" caption="Dept"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D0DA7D-5A99-4565-9581-B522FF081F15}" name="Table2" displayName="Table2" ref="A1:G51" totalsRowShown="0">
  <autoFilter ref="A1:G51" xr:uid="{80D0DA7D-5A99-4565-9581-B522FF081F15}"/>
  <tableColumns count="7">
    <tableColumn id="1" xr3:uid="{404F84A0-FE16-40E0-8B08-C6E63609F4AD}" name="ID"/>
    <tableColumn id="2" xr3:uid="{F1CD5C99-3DA2-46A1-AE60-7DD011F8AD66}" name="Name"/>
    <tableColumn id="3" xr3:uid="{2FED530D-F902-412B-BF90-83CEB56BD0A1}" name="Dept"/>
    <tableColumn id="4" xr3:uid="{2377B11E-F923-4191-AD7C-D7971CF18140}" name="Math" dataDxfId="3"/>
    <tableColumn id="5" xr3:uid="{DE542920-BEE3-4730-A55C-64231B656F57}" name="English" dataDxfId="2"/>
    <tableColumn id="6" xr3:uid="{3519BBA6-D3C9-4585-89ED-75AD121595EF}" name="Programming" dataDxfId="1"/>
    <tableColumn id="7" xr3:uid="{7F7B1C17-D79F-4AD4-BAF4-0058053B6B13}" name="Database"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C49B9-7146-4610-9C59-1E37E062CE66}">
  <dimension ref="A1:G51"/>
  <sheetViews>
    <sheetView showGridLines="0" workbookViewId="0">
      <selection activeCell="F3" sqref="F3"/>
    </sheetView>
  </sheetViews>
  <sheetFormatPr defaultRowHeight="14.4" x14ac:dyDescent="0.3"/>
  <cols>
    <col min="1" max="1" width="5" bestFit="1" customWidth="1"/>
    <col min="2" max="2" width="8.21875" bestFit="1" customWidth="1"/>
    <col min="3" max="3" width="7.21875" bestFit="1" customWidth="1"/>
    <col min="4" max="4" width="7.33203125" bestFit="1" customWidth="1"/>
    <col min="5" max="5" width="9.109375" bestFit="1" customWidth="1"/>
    <col min="6" max="6" width="14.33203125" bestFit="1" customWidth="1"/>
    <col min="7" max="7" width="10.77734375" customWidth="1"/>
  </cols>
  <sheetData>
    <row r="1" spans="1:7" x14ac:dyDescent="0.3">
      <c r="A1" t="s">
        <v>0</v>
      </c>
      <c r="B1" t="s">
        <v>1</v>
      </c>
      <c r="C1" t="s">
        <v>2</v>
      </c>
      <c r="D1" t="s">
        <v>3</v>
      </c>
      <c r="E1" t="s">
        <v>4</v>
      </c>
      <c r="F1" t="s">
        <v>5</v>
      </c>
      <c r="G1" t="s">
        <v>6</v>
      </c>
    </row>
    <row r="2" spans="1:7" x14ac:dyDescent="0.3">
      <c r="A2" t="s">
        <v>25</v>
      </c>
      <c r="B2" t="s">
        <v>24</v>
      </c>
      <c r="C2" t="s">
        <v>75</v>
      </c>
      <c r="D2" s="2">
        <v>81</v>
      </c>
      <c r="E2" s="2">
        <v>76</v>
      </c>
      <c r="F2" s="2">
        <v>99</v>
      </c>
      <c r="G2" s="2">
        <v>86</v>
      </c>
    </row>
    <row r="3" spans="1:7" x14ac:dyDescent="0.3">
      <c r="A3" t="s">
        <v>26</v>
      </c>
      <c r="B3" t="s">
        <v>9</v>
      </c>
      <c r="C3" t="s">
        <v>75</v>
      </c>
      <c r="D3" s="2">
        <v>78</v>
      </c>
      <c r="E3" s="2">
        <v>91</v>
      </c>
      <c r="F3" s="2">
        <v>82</v>
      </c>
      <c r="G3" s="2">
        <v>64</v>
      </c>
    </row>
    <row r="4" spans="1:7" x14ac:dyDescent="0.3">
      <c r="A4" t="s">
        <v>27</v>
      </c>
      <c r="B4" t="s">
        <v>14</v>
      </c>
      <c r="C4" t="s">
        <v>76</v>
      </c>
      <c r="D4" s="2">
        <v>71</v>
      </c>
      <c r="E4" s="2">
        <v>79</v>
      </c>
      <c r="F4" s="2">
        <v>95</v>
      </c>
      <c r="G4" s="2">
        <v>97</v>
      </c>
    </row>
    <row r="5" spans="1:7" x14ac:dyDescent="0.3">
      <c r="A5" t="s">
        <v>28</v>
      </c>
      <c r="B5" t="s">
        <v>21</v>
      </c>
      <c r="C5" t="s">
        <v>75</v>
      </c>
      <c r="D5" s="2">
        <v>72</v>
      </c>
      <c r="E5" s="2">
        <v>80</v>
      </c>
      <c r="F5" s="2">
        <v>93</v>
      </c>
      <c r="G5" s="2">
        <v>61</v>
      </c>
    </row>
    <row r="6" spans="1:7" x14ac:dyDescent="0.3">
      <c r="A6" t="s">
        <v>29</v>
      </c>
      <c r="B6" t="s">
        <v>14</v>
      </c>
      <c r="C6" t="s">
        <v>77</v>
      </c>
      <c r="D6" s="2">
        <v>66</v>
      </c>
      <c r="E6" s="2">
        <v>61</v>
      </c>
      <c r="F6" s="2">
        <v>67</v>
      </c>
      <c r="G6" s="2">
        <v>62</v>
      </c>
    </row>
    <row r="7" spans="1:7" x14ac:dyDescent="0.3">
      <c r="A7" t="s">
        <v>30</v>
      </c>
      <c r="B7" t="s">
        <v>11</v>
      </c>
      <c r="C7" t="s">
        <v>75</v>
      </c>
      <c r="D7" s="2">
        <v>94</v>
      </c>
      <c r="E7" s="2">
        <v>87</v>
      </c>
      <c r="F7" s="2">
        <v>65</v>
      </c>
      <c r="G7" s="2">
        <v>81</v>
      </c>
    </row>
    <row r="8" spans="1:7" x14ac:dyDescent="0.3">
      <c r="A8" t="s">
        <v>31</v>
      </c>
      <c r="B8" t="s">
        <v>10</v>
      </c>
      <c r="C8" t="s">
        <v>76</v>
      </c>
      <c r="D8" s="2">
        <v>81</v>
      </c>
      <c r="E8" s="2">
        <v>66</v>
      </c>
      <c r="F8" s="2">
        <v>64</v>
      </c>
      <c r="G8" s="2">
        <v>64</v>
      </c>
    </row>
    <row r="9" spans="1:7" x14ac:dyDescent="0.3">
      <c r="A9" t="s">
        <v>32</v>
      </c>
      <c r="B9" t="s">
        <v>20</v>
      </c>
      <c r="C9" t="s">
        <v>76</v>
      </c>
      <c r="D9" s="2">
        <v>87</v>
      </c>
      <c r="E9" s="2">
        <v>85</v>
      </c>
      <c r="F9" s="2">
        <v>87</v>
      </c>
      <c r="G9" s="2">
        <v>88</v>
      </c>
    </row>
    <row r="10" spans="1:7" x14ac:dyDescent="0.3">
      <c r="A10" t="s">
        <v>33</v>
      </c>
      <c r="B10" t="s">
        <v>10</v>
      </c>
      <c r="C10" t="s">
        <v>76</v>
      </c>
      <c r="D10" s="2">
        <v>92</v>
      </c>
      <c r="E10" s="2">
        <v>68</v>
      </c>
      <c r="F10" s="2">
        <v>76</v>
      </c>
      <c r="G10" s="2">
        <v>84</v>
      </c>
    </row>
    <row r="11" spans="1:7" x14ac:dyDescent="0.3">
      <c r="A11" t="s">
        <v>34</v>
      </c>
      <c r="B11" t="s">
        <v>18</v>
      </c>
      <c r="C11" t="s">
        <v>77</v>
      </c>
      <c r="D11" s="2">
        <v>74</v>
      </c>
      <c r="E11" s="2">
        <v>73</v>
      </c>
      <c r="F11" s="2">
        <v>79</v>
      </c>
      <c r="G11" s="2">
        <v>80</v>
      </c>
    </row>
    <row r="12" spans="1:7" x14ac:dyDescent="0.3">
      <c r="A12" t="s">
        <v>35</v>
      </c>
      <c r="B12" t="s">
        <v>20</v>
      </c>
      <c r="C12" t="s">
        <v>75</v>
      </c>
      <c r="D12" s="2">
        <v>61</v>
      </c>
      <c r="E12" s="2">
        <v>75</v>
      </c>
      <c r="F12" s="2">
        <v>62</v>
      </c>
      <c r="G12" s="2">
        <v>67</v>
      </c>
    </row>
    <row r="13" spans="1:7" x14ac:dyDescent="0.3">
      <c r="A13" t="s">
        <v>36</v>
      </c>
      <c r="B13" t="s">
        <v>22</v>
      </c>
      <c r="C13" t="s">
        <v>76</v>
      </c>
      <c r="D13" s="2">
        <v>83</v>
      </c>
      <c r="E13" s="2">
        <v>69</v>
      </c>
      <c r="F13" s="2">
        <v>71</v>
      </c>
      <c r="G13" s="2">
        <v>84</v>
      </c>
    </row>
    <row r="14" spans="1:7" x14ac:dyDescent="0.3">
      <c r="A14" t="s">
        <v>37</v>
      </c>
      <c r="B14" t="s">
        <v>12</v>
      </c>
      <c r="C14" t="s">
        <v>76</v>
      </c>
      <c r="D14" s="2">
        <v>82</v>
      </c>
      <c r="E14" s="2">
        <v>91</v>
      </c>
      <c r="F14" s="2">
        <v>96</v>
      </c>
      <c r="G14" s="2">
        <v>67</v>
      </c>
    </row>
    <row r="15" spans="1:7" x14ac:dyDescent="0.3">
      <c r="A15" t="s">
        <v>38</v>
      </c>
      <c r="B15" t="s">
        <v>17</v>
      </c>
      <c r="C15" t="s">
        <v>76</v>
      </c>
      <c r="D15" s="2">
        <v>87</v>
      </c>
      <c r="E15" s="2">
        <v>63</v>
      </c>
      <c r="F15" s="2">
        <v>61</v>
      </c>
      <c r="G15" s="2">
        <v>93</v>
      </c>
    </row>
    <row r="16" spans="1:7" x14ac:dyDescent="0.3">
      <c r="A16" t="s">
        <v>39</v>
      </c>
      <c r="B16" t="s">
        <v>17</v>
      </c>
      <c r="C16" t="s">
        <v>75</v>
      </c>
      <c r="D16" s="2">
        <v>75</v>
      </c>
      <c r="E16" s="2">
        <v>97</v>
      </c>
      <c r="F16" s="2">
        <v>85</v>
      </c>
      <c r="G16" s="2">
        <v>81</v>
      </c>
    </row>
    <row r="17" spans="1:7" x14ac:dyDescent="0.3">
      <c r="A17" t="s">
        <v>40</v>
      </c>
      <c r="B17" t="s">
        <v>13</v>
      </c>
      <c r="C17" t="s">
        <v>77</v>
      </c>
      <c r="D17" s="2">
        <v>67</v>
      </c>
      <c r="E17" s="2">
        <v>84</v>
      </c>
      <c r="F17" s="2">
        <v>81</v>
      </c>
      <c r="G17" s="2">
        <v>60</v>
      </c>
    </row>
    <row r="18" spans="1:7" x14ac:dyDescent="0.3">
      <c r="A18" t="s">
        <v>41</v>
      </c>
      <c r="B18" t="s">
        <v>17</v>
      </c>
      <c r="C18" t="s">
        <v>75</v>
      </c>
      <c r="D18" s="2">
        <v>77</v>
      </c>
      <c r="E18" s="2">
        <v>88</v>
      </c>
      <c r="F18" s="2">
        <v>67</v>
      </c>
      <c r="G18" s="2">
        <v>71</v>
      </c>
    </row>
    <row r="19" spans="1:7" x14ac:dyDescent="0.3">
      <c r="A19" t="s">
        <v>42</v>
      </c>
      <c r="B19" t="s">
        <v>15</v>
      </c>
      <c r="C19" t="s">
        <v>75</v>
      </c>
      <c r="D19" s="2">
        <v>78</v>
      </c>
      <c r="E19" s="2">
        <v>83</v>
      </c>
      <c r="F19" s="2">
        <v>79</v>
      </c>
      <c r="G19" s="2">
        <v>92</v>
      </c>
    </row>
    <row r="20" spans="1:7" x14ac:dyDescent="0.3">
      <c r="A20" t="s">
        <v>43</v>
      </c>
      <c r="B20" t="s">
        <v>8</v>
      </c>
      <c r="C20" t="s">
        <v>77</v>
      </c>
      <c r="D20" s="2">
        <v>82</v>
      </c>
      <c r="E20" s="2">
        <v>78</v>
      </c>
      <c r="F20" s="2">
        <v>77</v>
      </c>
      <c r="G20" s="2">
        <v>75</v>
      </c>
    </row>
    <row r="21" spans="1:7" x14ac:dyDescent="0.3">
      <c r="A21" t="s">
        <v>44</v>
      </c>
      <c r="B21" t="s">
        <v>19</v>
      </c>
      <c r="C21" t="s">
        <v>75</v>
      </c>
      <c r="D21" s="2">
        <v>76</v>
      </c>
      <c r="E21" s="2">
        <v>69</v>
      </c>
      <c r="F21" s="2">
        <v>60</v>
      </c>
      <c r="G21" s="2">
        <v>91</v>
      </c>
    </row>
    <row r="22" spans="1:7" x14ac:dyDescent="0.3">
      <c r="A22" t="s">
        <v>45</v>
      </c>
      <c r="B22" t="s">
        <v>13</v>
      </c>
      <c r="C22" t="s">
        <v>77</v>
      </c>
      <c r="D22" s="2">
        <v>83</v>
      </c>
      <c r="E22" s="2">
        <v>87</v>
      </c>
      <c r="F22" s="2">
        <v>60</v>
      </c>
      <c r="G22" s="2">
        <v>60</v>
      </c>
    </row>
    <row r="23" spans="1:7" x14ac:dyDescent="0.3">
      <c r="A23" t="s">
        <v>46</v>
      </c>
      <c r="B23" t="s">
        <v>16</v>
      </c>
      <c r="C23" t="s">
        <v>76</v>
      </c>
      <c r="D23" s="2">
        <v>76</v>
      </c>
      <c r="E23" s="2">
        <v>70</v>
      </c>
      <c r="F23" s="2">
        <v>61</v>
      </c>
      <c r="G23" s="2">
        <v>62</v>
      </c>
    </row>
    <row r="24" spans="1:7" x14ac:dyDescent="0.3">
      <c r="A24" t="s">
        <v>47</v>
      </c>
      <c r="B24" t="s">
        <v>13</v>
      </c>
      <c r="C24" t="s">
        <v>76</v>
      </c>
      <c r="D24" s="2">
        <v>82</v>
      </c>
      <c r="E24" s="2">
        <v>99</v>
      </c>
      <c r="F24" s="2">
        <v>65</v>
      </c>
      <c r="G24" s="2">
        <v>89</v>
      </c>
    </row>
    <row r="25" spans="1:7" x14ac:dyDescent="0.3">
      <c r="A25" t="s">
        <v>48</v>
      </c>
      <c r="B25" t="s">
        <v>16</v>
      </c>
      <c r="C25" t="s">
        <v>75</v>
      </c>
      <c r="D25" s="2">
        <v>98</v>
      </c>
      <c r="E25" s="2">
        <v>92</v>
      </c>
      <c r="F25" s="2">
        <v>77</v>
      </c>
      <c r="G25" s="2">
        <v>88</v>
      </c>
    </row>
    <row r="26" spans="1:7" x14ac:dyDescent="0.3">
      <c r="A26" t="s">
        <v>49</v>
      </c>
      <c r="B26" t="s">
        <v>23</v>
      </c>
      <c r="C26" t="s">
        <v>76</v>
      </c>
      <c r="D26" s="2">
        <v>76</v>
      </c>
      <c r="E26" s="2">
        <v>62</v>
      </c>
      <c r="F26" s="2">
        <v>65</v>
      </c>
      <c r="G26" s="2">
        <v>73</v>
      </c>
    </row>
    <row r="27" spans="1:7" x14ac:dyDescent="0.3">
      <c r="A27" t="s">
        <v>50</v>
      </c>
      <c r="B27" t="s">
        <v>11</v>
      </c>
      <c r="C27" t="s">
        <v>75</v>
      </c>
      <c r="D27" s="2">
        <v>71</v>
      </c>
      <c r="E27" s="2">
        <v>95</v>
      </c>
      <c r="F27" s="2">
        <v>80</v>
      </c>
      <c r="G27" s="2">
        <v>68</v>
      </c>
    </row>
    <row r="28" spans="1:7" x14ac:dyDescent="0.3">
      <c r="A28" t="s">
        <v>51</v>
      </c>
      <c r="B28" t="s">
        <v>19</v>
      </c>
      <c r="C28" t="s">
        <v>75</v>
      </c>
      <c r="D28" s="2">
        <v>92</v>
      </c>
      <c r="E28" s="2">
        <v>84</v>
      </c>
      <c r="F28" s="2">
        <v>80</v>
      </c>
      <c r="G28" s="2">
        <v>98</v>
      </c>
    </row>
    <row r="29" spans="1:7" x14ac:dyDescent="0.3">
      <c r="A29" t="s">
        <v>52</v>
      </c>
      <c r="B29" t="s">
        <v>11</v>
      </c>
      <c r="C29" t="s">
        <v>77</v>
      </c>
      <c r="D29" s="2">
        <v>64</v>
      </c>
      <c r="E29" s="2">
        <v>98</v>
      </c>
      <c r="F29" s="2">
        <v>63</v>
      </c>
      <c r="G29" s="2">
        <v>83</v>
      </c>
    </row>
    <row r="30" spans="1:7" x14ac:dyDescent="0.3">
      <c r="A30" t="s">
        <v>53</v>
      </c>
      <c r="B30" t="s">
        <v>9</v>
      </c>
      <c r="C30" t="s">
        <v>77</v>
      </c>
      <c r="D30" s="2">
        <v>76</v>
      </c>
      <c r="E30" s="2">
        <v>84</v>
      </c>
      <c r="F30" s="2">
        <v>65</v>
      </c>
      <c r="G30" s="2">
        <v>62</v>
      </c>
    </row>
    <row r="31" spans="1:7" x14ac:dyDescent="0.3">
      <c r="A31" t="s">
        <v>54</v>
      </c>
      <c r="B31" t="s">
        <v>16</v>
      </c>
      <c r="C31" t="s">
        <v>76</v>
      </c>
      <c r="D31" s="2">
        <v>86</v>
      </c>
      <c r="E31" s="2">
        <v>95</v>
      </c>
      <c r="F31" s="2">
        <v>60</v>
      </c>
      <c r="G31" s="2">
        <v>97</v>
      </c>
    </row>
    <row r="32" spans="1:7" x14ac:dyDescent="0.3">
      <c r="A32" t="s">
        <v>55</v>
      </c>
      <c r="B32" t="s">
        <v>16</v>
      </c>
      <c r="C32" t="s">
        <v>75</v>
      </c>
      <c r="D32" s="2">
        <v>67</v>
      </c>
      <c r="E32" s="2">
        <v>97</v>
      </c>
      <c r="F32" s="2">
        <v>70</v>
      </c>
      <c r="G32" s="2">
        <v>63</v>
      </c>
    </row>
    <row r="33" spans="1:7" x14ac:dyDescent="0.3">
      <c r="A33" t="s">
        <v>56</v>
      </c>
      <c r="B33" t="s">
        <v>16</v>
      </c>
      <c r="C33" t="s">
        <v>76</v>
      </c>
      <c r="D33" s="2">
        <v>92</v>
      </c>
      <c r="E33" s="2">
        <v>96</v>
      </c>
      <c r="F33" s="2">
        <v>64</v>
      </c>
      <c r="G33" s="2">
        <v>75</v>
      </c>
    </row>
    <row r="34" spans="1:7" x14ac:dyDescent="0.3">
      <c r="A34" t="s">
        <v>57</v>
      </c>
      <c r="B34" t="s">
        <v>11</v>
      </c>
      <c r="C34" t="s">
        <v>75</v>
      </c>
      <c r="D34" s="2">
        <v>77</v>
      </c>
      <c r="E34" s="2">
        <v>93</v>
      </c>
      <c r="F34" s="2">
        <v>87</v>
      </c>
      <c r="G34" s="2">
        <v>92</v>
      </c>
    </row>
    <row r="35" spans="1:7" x14ac:dyDescent="0.3">
      <c r="A35" t="s">
        <v>58</v>
      </c>
      <c r="B35" t="s">
        <v>14</v>
      </c>
      <c r="C35" t="s">
        <v>76</v>
      </c>
      <c r="D35" s="2">
        <v>60</v>
      </c>
      <c r="E35" s="2">
        <v>89</v>
      </c>
      <c r="F35" s="2">
        <v>86</v>
      </c>
      <c r="G35" s="2">
        <v>80</v>
      </c>
    </row>
    <row r="36" spans="1:7" x14ac:dyDescent="0.3">
      <c r="A36" t="s">
        <v>59</v>
      </c>
      <c r="B36" t="s">
        <v>24</v>
      </c>
      <c r="C36" t="s">
        <v>76</v>
      </c>
      <c r="D36" s="2">
        <v>90</v>
      </c>
      <c r="E36" s="2">
        <v>89</v>
      </c>
      <c r="F36" s="2">
        <v>75</v>
      </c>
      <c r="G36" s="2">
        <v>70</v>
      </c>
    </row>
    <row r="37" spans="1:7" x14ac:dyDescent="0.3">
      <c r="A37" t="s">
        <v>60</v>
      </c>
      <c r="B37" t="s">
        <v>9</v>
      </c>
      <c r="C37" t="s">
        <v>77</v>
      </c>
      <c r="D37" s="2">
        <v>71</v>
      </c>
      <c r="E37" s="2">
        <v>88</v>
      </c>
      <c r="F37" s="2">
        <v>71</v>
      </c>
      <c r="G37" s="2">
        <v>66</v>
      </c>
    </row>
    <row r="38" spans="1:7" x14ac:dyDescent="0.3">
      <c r="A38" t="s">
        <v>61</v>
      </c>
      <c r="B38" t="s">
        <v>7</v>
      </c>
      <c r="C38" t="s">
        <v>76</v>
      </c>
      <c r="D38" s="2">
        <v>100</v>
      </c>
      <c r="E38" s="2">
        <v>91</v>
      </c>
      <c r="F38" s="2">
        <v>70</v>
      </c>
      <c r="G38" s="2">
        <v>95</v>
      </c>
    </row>
    <row r="39" spans="1:7" x14ac:dyDescent="0.3">
      <c r="A39" t="s">
        <v>62</v>
      </c>
      <c r="B39" t="s">
        <v>21</v>
      </c>
      <c r="C39" t="s">
        <v>75</v>
      </c>
      <c r="D39" s="2">
        <v>69</v>
      </c>
      <c r="E39" s="2">
        <v>74</v>
      </c>
      <c r="F39" s="2">
        <v>83</v>
      </c>
      <c r="G39" s="2">
        <v>84</v>
      </c>
    </row>
    <row r="40" spans="1:7" x14ac:dyDescent="0.3">
      <c r="A40" t="s">
        <v>63</v>
      </c>
      <c r="B40" t="s">
        <v>11</v>
      </c>
      <c r="C40" t="s">
        <v>77</v>
      </c>
      <c r="D40" s="2">
        <v>73</v>
      </c>
      <c r="E40" s="2">
        <v>94</v>
      </c>
      <c r="F40" s="2">
        <v>69</v>
      </c>
      <c r="G40" s="2">
        <v>90</v>
      </c>
    </row>
    <row r="41" spans="1:7" x14ac:dyDescent="0.3">
      <c r="A41" t="s">
        <v>64</v>
      </c>
      <c r="B41" t="s">
        <v>21</v>
      </c>
      <c r="C41" t="s">
        <v>77</v>
      </c>
      <c r="D41" s="2">
        <v>86</v>
      </c>
      <c r="E41" s="2">
        <v>70</v>
      </c>
      <c r="F41" s="2">
        <v>96</v>
      </c>
      <c r="G41" s="2">
        <v>62</v>
      </c>
    </row>
    <row r="42" spans="1:7" x14ac:dyDescent="0.3">
      <c r="A42" t="s">
        <v>65</v>
      </c>
      <c r="B42" t="s">
        <v>18</v>
      </c>
      <c r="C42" t="s">
        <v>76</v>
      </c>
      <c r="D42" s="2">
        <v>64</v>
      </c>
      <c r="E42" s="2">
        <v>98</v>
      </c>
      <c r="F42" s="2">
        <v>85</v>
      </c>
      <c r="G42" s="2">
        <v>72</v>
      </c>
    </row>
    <row r="43" spans="1:7" x14ac:dyDescent="0.3">
      <c r="A43" t="s">
        <v>66</v>
      </c>
      <c r="B43" t="s">
        <v>20</v>
      </c>
      <c r="C43" t="s">
        <v>77</v>
      </c>
      <c r="D43" s="2">
        <v>87</v>
      </c>
      <c r="E43" s="2">
        <v>87</v>
      </c>
      <c r="F43" s="2">
        <v>60</v>
      </c>
      <c r="G43" s="2">
        <v>93</v>
      </c>
    </row>
    <row r="44" spans="1:7" x14ac:dyDescent="0.3">
      <c r="A44" t="s">
        <v>67</v>
      </c>
      <c r="B44" t="s">
        <v>16</v>
      </c>
      <c r="C44" t="s">
        <v>77</v>
      </c>
      <c r="D44" s="2">
        <v>83</v>
      </c>
      <c r="E44" s="2">
        <v>72</v>
      </c>
      <c r="F44" s="2">
        <v>89</v>
      </c>
      <c r="G44" s="2">
        <v>73</v>
      </c>
    </row>
    <row r="45" spans="1:7" x14ac:dyDescent="0.3">
      <c r="A45" t="s">
        <v>68</v>
      </c>
      <c r="B45" t="s">
        <v>16</v>
      </c>
      <c r="C45" t="s">
        <v>77</v>
      </c>
      <c r="D45" s="2">
        <v>95</v>
      </c>
      <c r="E45" s="2">
        <v>74</v>
      </c>
      <c r="F45" s="2">
        <v>97</v>
      </c>
      <c r="G45" s="2">
        <v>85</v>
      </c>
    </row>
    <row r="46" spans="1:7" x14ac:dyDescent="0.3">
      <c r="A46" t="s">
        <v>69</v>
      </c>
      <c r="B46" t="s">
        <v>11</v>
      </c>
      <c r="C46" t="s">
        <v>75</v>
      </c>
      <c r="D46" s="2">
        <v>61</v>
      </c>
      <c r="E46" s="2">
        <v>61</v>
      </c>
      <c r="F46" s="2">
        <v>63</v>
      </c>
      <c r="G46" s="2">
        <v>64</v>
      </c>
    </row>
    <row r="47" spans="1:7" x14ac:dyDescent="0.3">
      <c r="A47" t="s">
        <v>70</v>
      </c>
      <c r="B47" t="s">
        <v>14</v>
      </c>
      <c r="C47" t="s">
        <v>75</v>
      </c>
      <c r="D47" s="2">
        <v>80</v>
      </c>
      <c r="E47" s="2">
        <v>87</v>
      </c>
      <c r="F47" s="2">
        <v>76</v>
      </c>
      <c r="G47" s="2">
        <v>77</v>
      </c>
    </row>
    <row r="48" spans="1:7" x14ac:dyDescent="0.3">
      <c r="A48" t="s">
        <v>71</v>
      </c>
      <c r="B48" t="s">
        <v>24</v>
      </c>
      <c r="C48" t="s">
        <v>77</v>
      </c>
      <c r="D48" s="2">
        <v>95</v>
      </c>
      <c r="E48" s="2">
        <v>82</v>
      </c>
      <c r="F48" s="2">
        <v>80</v>
      </c>
      <c r="G48" s="2">
        <v>86</v>
      </c>
    </row>
    <row r="49" spans="1:7" x14ac:dyDescent="0.3">
      <c r="A49" t="s">
        <v>72</v>
      </c>
      <c r="B49" t="s">
        <v>23</v>
      </c>
      <c r="C49" t="s">
        <v>76</v>
      </c>
      <c r="D49" s="2">
        <v>69</v>
      </c>
      <c r="E49" s="2">
        <v>72</v>
      </c>
      <c r="F49" s="2">
        <v>96</v>
      </c>
      <c r="G49" s="2">
        <v>85</v>
      </c>
    </row>
    <row r="50" spans="1:7" x14ac:dyDescent="0.3">
      <c r="A50" t="s">
        <v>73</v>
      </c>
      <c r="B50" t="s">
        <v>20</v>
      </c>
      <c r="C50" t="s">
        <v>77</v>
      </c>
      <c r="D50" s="2">
        <v>89</v>
      </c>
      <c r="E50" s="2">
        <v>89</v>
      </c>
      <c r="F50" s="2">
        <v>74</v>
      </c>
      <c r="G50" s="2">
        <v>70</v>
      </c>
    </row>
    <row r="51" spans="1:7" x14ac:dyDescent="0.3">
      <c r="A51" t="s">
        <v>74</v>
      </c>
      <c r="B51" t="s">
        <v>20</v>
      </c>
      <c r="C51" t="s">
        <v>77</v>
      </c>
      <c r="D51" s="2">
        <v>66</v>
      </c>
      <c r="E51" s="2">
        <v>93</v>
      </c>
      <c r="F51" s="2">
        <v>63</v>
      </c>
      <c r="G51" s="2">
        <v>68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4B236-7C32-4025-875A-666C61C03341}">
  <dimension ref="A1:E51"/>
  <sheetViews>
    <sheetView showGridLines="0" tabSelected="1" workbookViewId="0">
      <pane ySplit="1" topLeftCell="A2" activePane="bottomLeft" state="frozen"/>
      <selection pane="bottomLeft" activeCell="G14" sqref="G14"/>
    </sheetView>
  </sheetViews>
  <sheetFormatPr defaultRowHeight="14.4" x14ac:dyDescent="0.3"/>
  <cols>
    <col min="1" max="1" width="6.109375" bestFit="1" customWidth="1"/>
    <col min="2" max="2" width="5.109375" bestFit="1" customWidth="1"/>
    <col min="3" max="3" width="7.5546875" bestFit="1" customWidth="1"/>
    <col min="4" max="4" width="9.21875" bestFit="1" customWidth="1"/>
  </cols>
  <sheetData>
    <row r="1" spans="1:5" x14ac:dyDescent="0.3">
      <c r="A1" s="1" t="s">
        <v>1</v>
      </c>
      <c r="B1" s="1" t="s">
        <v>78</v>
      </c>
      <c r="C1" s="1" t="s">
        <v>79</v>
      </c>
      <c r="D1" s="1" t="s">
        <v>80</v>
      </c>
      <c r="E1" s="1" t="s">
        <v>2</v>
      </c>
    </row>
    <row r="2" spans="1:5" x14ac:dyDescent="0.3">
      <c r="A2" t="str">
        <f>Raw_Data!B2</f>
        <v>Hessa</v>
      </c>
      <c r="B2" s="2">
        <f>SUM(Raw_Data!D2:G2)</f>
        <v>342</v>
      </c>
      <c r="C2" s="2">
        <f>AVERAGE(Raw_Data!D2:G2)</f>
        <v>85.5</v>
      </c>
      <c r="D2" t="str">
        <f>IF(C2&gt;=90,"Excellent",IF(C2&gt;=80,"Very Good",IF(C2&gt;=70,"Good",IF(C2&gt;=60,"Pass","Fail"))))</f>
        <v>Very Good</v>
      </c>
      <c r="E2" t="str">
        <f>Raw_Data!C2</f>
        <v>CS</v>
      </c>
    </row>
    <row r="3" spans="1:5" x14ac:dyDescent="0.3">
      <c r="A3" t="str">
        <f>Raw_Data!B3</f>
        <v>Reem</v>
      </c>
      <c r="B3" s="2">
        <f>SUM(Raw_Data!D3:G3)</f>
        <v>315</v>
      </c>
      <c r="C3" s="2">
        <f>AVERAGE(Raw_Data!D3:G3)</f>
        <v>78.75</v>
      </c>
      <c r="D3" t="str">
        <f t="shared" ref="D3:D51" si="0">IF(C3&gt;=90,"Excellent",IF(C3&gt;=80,"Very Good",IF(C3&gt;=70,"Good",IF(C3&gt;=60,"Pass","Fail"))))</f>
        <v>Good</v>
      </c>
      <c r="E3" t="str">
        <f>Raw_Data!C3</f>
        <v>CS</v>
      </c>
    </row>
    <row r="4" spans="1:5" x14ac:dyDescent="0.3">
      <c r="A4" t="str">
        <f>Raw_Data!B4</f>
        <v>Alya</v>
      </c>
      <c r="B4" s="2">
        <f>SUM(Raw_Data!D4:G4)</f>
        <v>342</v>
      </c>
      <c r="C4" s="2">
        <f>AVERAGE(Raw_Data!D4:G4)</f>
        <v>85.5</v>
      </c>
      <c r="D4" t="str">
        <f t="shared" si="0"/>
        <v>Very Good</v>
      </c>
      <c r="E4" t="str">
        <f>Raw_Data!C4</f>
        <v>IT</v>
      </c>
    </row>
    <row r="5" spans="1:5" x14ac:dyDescent="0.3">
      <c r="A5" t="str">
        <f>Raw_Data!B5</f>
        <v>Amal</v>
      </c>
      <c r="B5" s="2">
        <f>SUM(Raw_Data!D5:G5)</f>
        <v>306</v>
      </c>
      <c r="C5" s="2">
        <f>AVERAGE(Raw_Data!D5:G5)</f>
        <v>76.5</v>
      </c>
      <c r="D5" t="str">
        <f t="shared" si="0"/>
        <v>Good</v>
      </c>
      <c r="E5" t="str">
        <f>Raw_Data!C5</f>
        <v>CS</v>
      </c>
    </row>
    <row r="6" spans="1:5" x14ac:dyDescent="0.3">
      <c r="A6" t="str">
        <f>Raw_Data!B6</f>
        <v>Alya</v>
      </c>
      <c r="B6" s="2">
        <f>SUM(Raw_Data!D6:G6)</f>
        <v>256</v>
      </c>
      <c r="C6" s="2">
        <f>AVERAGE(Raw_Data!D6:G6)</f>
        <v>64</v>
      </c>
      <c r="D6" t="str">
        <f t="shared" si="0"/>
        <v>Pass</v>
      </c>
      <c r="E6" t="str">
        <f>Raw_Data!C6</f>
        <v>SE</v>
      </c>
    </row>
    <row r="7" spans="1:5" x14ac:dyDescent="0.3">
      <c r="A7" t="str">
        <f>Raw_Data!B7</f>
        <v>Hala</v>
      </c>
      <c r="B7" s="2">
        <f>SUM(Raw_Data!D7:G7)</f>
        <v>327</v>
      </c>
      <c r="C7" s="2">
        <f>AVERAGE(Raw_Data!D7:G7)</f>
        <v>81.75</v>
      </c>
      <c r="D7" t="str">
        <f t="shared" si="0"/>
        <v>Very Good</v>
      </c>
      <c r="E7" t="str">
        <f>Raw_Data!C7</f>
        <v>CS</v>
      </c>
    </row>
    <row r="8" spans="1:5" x14ac:dyDescent="0.3">
      <c r="A8" t="str">
        <f>Raw_Data!B8</f>
        <v>Lina</v>
      </c>
      <c r="B8" s="2">
        <f>SUM(Raw_Data!D8:G8)</f>
        <v>275</v>
      </c>
      <c r="C8" s="2">
        <f>AVERAGE(Raw_Data!D8:G8)</f>
        <v>68.75</v>
      </c>
      <c r="D8" t="str">
        <f t="shared" si="0"/>
        <v>Pass</v>
      </c>
      <c r="E8" t="str">
        <f>Raw_Data!C8</f>
        <v>IT</v>
      </c>
    </row>
    <row r="9" spans="1:5" x14ac:dyDescent="0.3">
      <c r="A9" t="str">
        <f>Raw_Data!B9</f>
        <v>Yara</v>
      </c>
      <c r="B9" s="2">
        <f>SUM(Raw_Data!D9:G9)</f>
        <v>347</v>
      </c>
      <c r="C9" s="2">
        <f>AVERAGE(Raw_Data!D9:G9)</f>
        <v>86.75</v>
      </c>
      <c r="D9" t="str">
        <f t="shared" si="0"/>
        <v>Very Good</v>
      </c>
      <c r="E9" t="str">
        <f>Raw_Data!C9</f>
        <v>IT</v>
      </c>
    </row>
    <row r="10" spans="1:5" x14ac:dyDescent="0.3">
      <c r="A10" t="str">
        <f>Raw_Data!B10</f>
        <v>Lina</v>
      </c>
      <c r="B10" s="2">
        <f>SUM(Raw_Data!D10:G10)</f>
        <v>320</v>
      </c>
      <c r="C10" s="2">
        <f>AVERAGE(Raw_Data!D10:G10)</f>
        <v>80</v>
      </c>
      <c r="D10" t="str">
        <f t="shared" si="0"/>
        <v>Very Good</v>
      </c>
      <c r="E10" t="str">
        <f>Raw_Data!C10</f>
        <v>IT</v>
      </c>
    </row>
    <row r="11" spans="1:5" x14ac:dyDescent="0.3">
      <c r="A11" t="str">
        <f>Raw_Data!B11</f>
        <v>Hind</v>
      </c>
      <c r="B11" s="2">
        <f>SUM(Raw_Data!D11:G11)</f>
        <v>306</v>
      </c>
      <c r="C11" s="2">
        <f>AVERAGE(Raw_Data!D11:G11)</f>
        <v>76.5</v>
      </c>
      <c r="D11" t="str">
        <f t="shared" si="0"/>
        <v>Good</v>
      </c>
      <c r="E11" t="str">
        <f>Raw_Data!C11</f>
        <v>SE</v>
      </c>
    </row>
    <row r="12" spans="1:5" x14ac:dyDescent="0.3">
      <c r="A12" t="str">
        <f>Raw_Data!B12</f>
        <v>Yara</v>
      </c>
      <c r="B12" s="2">
        <f>SUM(Raw_Data!D12:G12)</f>
        <v>265</v>
      </c>
      <c r="C12" s="2">
        <f>AVERAGE(Raw_Data!D12:G12)</f>
        <v>66.25</v>
      </c>
      <c r="D12" t="str">
        <f t="shared" si="0"/>
        <v>Pass</v>
      </c>
      <c r="E12" t="str">
        <f>Raw_Data!C12</f>
        <v>CS</v>
      </c>
    </row>
    <row r="13" spans="1:5" x14ac:dyDescent="0.3">
      <c r="A13" t="str">
        <f>Raw_Data!B13</f>
        <v>Afnan</v>
      </c>
      <c r="B13" s="2">
        <f>SUM(Raw_Data!D13:G13)</f>
        <v>307</v>
      </c>
      <c r="C13" s="2">
        <f>AVERAGE(Raw_Data!D13:G13)</f>
        <v>76.75</v>
      </c>
      <c r="D13" t="str">
        <f t="shared" si="0"/>
        <v>Good</v>
      </c>
      <c r="E13" t="str">
        <f>Raw_Data!C13</f>
        <v>IT</v>
      </c>
    </row>
    <row r="14" spans="1:5" x14ac:dyDescent="0.3">
      <c r="A14" t="str">
        <f>Raw_Data!B14</f>
        <v>Maha</v>
      </c>
      <c r="B14" s="2">
        <f>SUM(Raw_Data!D14:G14)</f>
        <v>336</v>
      </c>
      <c r="C14" s="2">
        <f>AVERAGE(Raw_Data!D14:G14)</f>
        <v>84</v>
      </c>
      <c r="D14" t="str">
        <f t="shared" si="0"/>
        <v>Very Good</v>
      </c>
      <c r="E14" t="str">
        <f>Raw_Data!C14</f>
        <v>IT</v>
      </c>
    </row>
    <row r="15" spans="1:5" x14ac:dyDescent="0.3">
      <c r="A15" t="str">
        <f>Raw_Data!B15</f>
        <v>Layan</v>
      </c>
      <c r="B15" s="2">
        <f>SUM(Raw_Data!D15:G15)</f>
        <v>304</v>
      </c>
      <c r="C15" s="2">
        <f>AVERAGE(Raw_Data!D15:G15)</f>
        <v>76</v>
      </c>
      <c r="D15" t="str">
        <f t="shared" si="0"/>
        <v>Good</v>
      </c>
      <c r="E15" t="str">
        <f>Raw_Data!C15</f>
        <v>IT</v>
      </c>
    </row>
    <row r="16" spans="1:5" x14ac:dyDescent="0.3">
      <c r="A16" t="str">
        <f>Raw_Data!B16</f>
        <v>Layan</v>
      </c>
      <c r="B16" s="2">
        <f>SUM(Raw_Data!D16:G16)</f>
        <v>338</v>
      </c>
      <c r="C16" s="2">
        <f>AVERAGE(Raw_Data!D16:G16)</f>
        <v>84.5</v>
      </c>
      <c r="D16" t="str">
        <f t="shared" si="0"/>
        <v>Very Good</v>
      </c>
      <c r="E16" t="str">
        <f>Raw_Data!C16</f>
        <v>CS</v>
      </c>
    </row>
    <row r="17" spans="1:5" x14ac:dyDescent="0.3">
      <c r="A17" t="str">
        <f>Raw_Data!B17</f>
        <v>Rana</v>
      </c>
      <c r="B17" s="2">
        <f>SUM(Raw_Data!D17:G17)</f>
        <v>292</v>
      </c>
      <c r="C17" s="2">
        <f>AVERAGE(Raw_Data!D17:G17)</f>
        <v>73</v>
      </c>
      <c r="D17" t="str">
        <f t="shared" si="0"/>
        <v>Good</v>
      </c>
      <c r="E17" t="str">
        <f>Raw_Data!C17</f>
        <v>SE</v>
      </c>
    </row>
    <row r="18" spans="1:5" x14ac:dyDescent="0.3">
      <c r="A18" t="str">
        <f>Raw_Data!B18</f>
        <v>Layan</v>
      </c>
      <c r="B18" s="2">
        <f>SUM(Raw_Data!D18:G18)</f>
        <v>303</v>
      </c>
      <c r="C18" s="2">
        <f>AVERAGE(Raw_Data!D18:G18)</f>
        <v>75.75</v>
      </c>
      <c r="D18" t="str">
        <f t="shared" si="0"/>
        <v>Good</v>
      </c>
      <c r="E18" t="str">
        <f>Raw_Data!C18</f>
        <v>CS</v>
      </c>
    </row>
    <row r="19" spans="1:5" x14ac:dyDescent="0.3">
      <c r="A19" t="str">
        <f>Raw_Data!B19</f>
        <v>Dana</v>
      </c>
      <c r="B19" s="2">
        <f>SUM(Raw_Data!D19:G19)</f>
        <v>332</v>
      </c>
      <c r="C19" s="2">
        <f>AVERAGE(Raw_Data!D19:G19)</f>
        <v>83</v>
      </c>
      <c r="D19" t="str">
        <f t="shared" si="0"/>
        <v>Very Good</v>
      </c>
      <c r="E19" t="str">
        <f>Raw_Data!C19</f>
        <v>CS</v>
      </c>
    </row>
    <row r="20" spans="1:5" x14ac:dyDescent="0.3">
      <c r="A20" t="str">
        <f>Raw_Data!B20</f>
        <v>Noura</v>
      </c>
      <c r="B20" s="2">
        <f>SUM(Raw_Data!D20:G20)</f>
        <v>312</v>
      </c>
      <c r="C20" s="2">
        <f>AVERAGE(Raw_Data!D20:G20)</f>
        <v>78</v>
      </c>
      <c r="D20" t="str">
        <f t="shared" si="0"/>
        <v>Good</v>
      </c>
      <c r="E20" t="str">
        <f>Raw_Data!C20</f>
        <v>SE</v>
      </c>
    </row>
    <row r="21" spans="1:5" x14ac:dyDescent="0.3">
      <c r="A21" t="str">
        <f>Raw_Data!B21</f>
        <v>Noor</v>
      </c>
      <c r="B21" s="2">
        <f>SUM(Raw_Data!D21:G21)</f>
        <v>296</v>
      </c>
      <c r="C21" s="2">
        <f>AVERAGE(Raw_Data!D21:G21)</f>
        <v>74</v>
      </c>
      <c r="D21" t="str">
        <f t="shared" si="0"/>
        <v>Good</v>
      </c>
      <c r="E21" t="str">
        <f>Raw_Data!C21</f>
        <v>CS</v>
      </c>
    </row>
    <row r="22" spans="1:5" x14ac:dyDescent="0.3">
      <c r="A22" t="str">
        <f>Raw_Data!B22</f>
        <v>Rana</v>
      </c>
      <c r="B22" s="2">
        <f>SUM(Raw_Data!D22:G22)</f>
        <v>290</v>
      </c>
      <c r="C22" s="2">
        <f>AVERAGE(Raw_Data!D22:G22)</f>
        <v>72.5</v>
      </c>
      <c r="D22" t="str">
        <f t="shared" si="0"/>
        <v>Good</v>
      </c>
      <c r="E22" t="str">
        <f>Raw_Data!C22</f>
        <v>SE</v>
      </c>
    </row>
    <row r="23" spans="1:5" x14ac:dyDescent="0.3">
      <c r="A23" t="str">
        <f>Raw_Data!B23</f>
        <v>Rania</v>
      </c>
      <c r="B23" s="2">
        <f>SUM(Raw_Data!D23:G23)</f>
        <v>269</v>
      </c>
      <c r="C23" s="2">
        <f>AVERAGE(Raw_Data!D23:G23)</f>
        <v>67.25</v>
      </c>
      <c r="D23" t="str">
        <f t="shared" si="0"/>
        <v>Pass</v>
      </c>
      <c r="E23" t="str">
        <f>Raw_Data!C23</f>
        <v>IT</v>
      </c>
    </row>
    <row r="24" spans="1:5" x14ac:dyDescent="0.3">
      <c r="A24" t="str">
        <f>Raw_Data!B24</f>
        <v>Rana</v>
      </c>
      <c r="B24" s="2">
        <f>SUM(Raw_Data!D24:G24)</f>
        <v>335</v>
      </c>
      <c r="C24" s="2">
        <f>AVERAGE(Raw_Data!D24:G24)</f>
        <v>83.75</v>
      </c>
      <c r="D24" t="str">
        <f t="shared" si="0"/>
        <v>Very Good</v>
      </c>
      <c r="E24" t="str">
        <f>Raw_Data!C24</f>
        <v>IT</v>
      </c>
    </row>
    <row r="25" spans="1:5" x14ac:dyDescent="0.3">
      <c r="A25" t="str">
        <f>Raw_Data!B25</f>
        <v>Rania</v>
      </c>
      <c r="B25" s="2">
        <f>SUM(Raw_Data!D25:G25)</f>
        <v>355</v>
      </c>
      <c r="C25" s="2">
        <f>AVERAGE(Raw_Data!D25:G25)</f>
        <v>88.75</v>
      </c>
      <c r="D25" t="str">
        <f t="shared" si="0"/>
        <v>Very Good</v>
      </c>
      <c r="E25" t="str">
        <f>Raw_Data!C25</f>
        <v>CS</v>
      </c>
    </row>
    <row r="26" spans="1:5" x14ac:dyDescent="0.3">
      <c r="A26" t="str">
        <f>Raw_Data!B26</f>
        <v>Abeer</v>
      </c>
      <c r="B26" s="2">
        <f>SUM(Raw_Data!D26:G26)</f>
        <v>276</v>
      </c>
      <c r="C26" s="2">
        <f>AVERAGE(Raw_Data!D26:G26)</f>
        <v>69</v>
      </c>
      <c r="D26" t="str">
        <f t="shared" si="0"/>
        <v>Pass</v>
      </c>
      <c r="E26" t="str">
        <f>Raw_Data!C26</f>
        <v>IT</v>
      </c>
    </row>
    <row r="27" spans="1:5" x14ac:dyDescent="0.3">
      <c r="A27" t="str">
        <f>Raw_Data!B27</f>
        <v>Hala</v>
      </c>
      <c r="B27" s="2">
        <f>SUM(Raw_Data!D27:G27)</f>
        <v>314</v>
      </c>
      <c r="C27" s="2">
        <f>AVERAGE(Raw_Data!D27:G27)</f>
        <v>78.5</v>
      </c>
      <c r="D27" t="str">
        <f t="shared" si="0"/>
        <v>Good</v>
      </c>
      <c r="E27" t="str">
        <f>Raw_Data!C27</f>
        <v>CS</v>
      </c>
    </row>
    <row r="28" spans="1:5" x14ac:dyDescent="0.3">
      <c r="A28" t="str">
        <f>Raw_Data!B28</f>
        <v>Noor</v>
      </c>
      <c r="B28" s="2">
        <f>SUM(Raw_Data!D28:G28)</f>
        <v>354</v>
      </c>
      <c r="C28" s="2">
        <f>AVERAGE(Raw_Data!D28:G28)</f>
        <v>88.5</v>
      </c>
      <c r="D28" t="str">
        <f t="shared" si="0"/>
        <v>Very Good</v>
      </c>
      <c r="E28" t="str">
        <f>Raw_Data!C28</f>
        <v>CS</v>
      </c>
    </row>
    <row r="29" spans="1:5" x14ac:dyDescent="0.3">
      <c r="A29" t="str">
        <f>Raw_Data!B29</f>
        <v>Hala</v>
      </c>
      <c r="B29" s="2">
        <f>SUM(Raw_Data!D29:G29)</f>
        <v>308</v>
      </c>
      <c r="C29" s="2">
        <f>AVERAGE(Raw_Data!D29:G29)</f>
        <v>77</v>
      </c>
      <c r="D29" t="str">
        <f t="shared" si="0"/>
        <v>Good</v>
      </c>
      <c r="E29" t="str">
        <f>Raw_Data!C29</f>
        <v>SE</v>
      </c>
    </row>
    <row r="30" spans="1:5" x14ac:dyDescent="0.3">
      <c r="A30" t="str">
        <f>Raw_Data!B30</f>
        <v>Reem</v>
      </c>
      <c r="B30" s="2">
        <f>SUM(Raw_Data!D30:G30)</f>
        <v>287</v>
      </c>
      <c r="C30" s="2">
        <f>AVERAGE(Raw_Data!D30:G30)</f>
        <v>71.75</v>
      </c>
      <c r="D30" t="str">
        <f t="shared" si="0"/>
        <v>Good</v>
      </c>
      <c r="E30" t="str">
        <f>Raw_Data!C30</f>
        <v>SE</v>
      </c>
    </row>
    <row r="31" spans="1:5" x14ac:dyDescent="0.3">
      <c r="A31" t="str">
        <f>Raw_Data!B31</f>
        <v>Rania</v>
      </c>
      <c r="B31" s="2">
        <f>SUM(Raw_Data!D31:G31)</f>
        <v>338</v>
      </c>
      <c r="C31" s="2">
        <f>AVERAGE(Raw_Data!D31:G31)</f>
        <v>84.5</v>
      </c>
      <c r="D31" t="str">
        <f t="shared" si="0"/>
        <v>Very Good</v>
      </c>
      <c r="E31" t="str">
        <f>Raw_Data!C31</f>
        <v>IT</v>
      </c>
    </row>
    <row r="32" spans="1:5" x14ac:dyDescent="0.3">
      <c r="A32" t="str">
        <f>Raw_Data!B32</f>
        <v>Rania</v>
      </c>
      <c r="B32" s="2">
        <f>SUM(Raw_Data!D32:G32)</f>
        <v>297</v>
      </c>
      <c r="C32" s="2">
        <f>AVERAGE(Raw_Data!D32:G32)</f>
        <v>74.25</v>
      </c>
      <c r="D32" t="str">
        <f t="shared" si="0"/>
        <v>Good</v>
      </c>
      <c r="E32" t="str">
        <f>Raw_Data!C32</f>
        <v>CS</v>
      </c>
    </row>
    <row r="33" spans="1:5" x14ac:dyDescent="0.3">
      <c r="A33" t="str">
        <f>Raw_Data!B33</f>
        <v>Rania</v>
      </c>
      <c r="B33" s="2">
        <f>SUM(Raw_Data!D33:G33)</f>
        <v>327</v>
      </c>
      <c r="C33" s="2">
        <f>AVERAGE(Raw_Data!D33:G33)</f>
        <v>81.75</v>
      </c>
      <c r="D33" t="str">
        <f t="shared" si="0"/>
        <v>Very Good</v>
      </c>
      <c r="E33" t="str">
        <f>Raw_Data!C33</f>
        <v>IT</v>
      </c>
    </row>
    <row r="34" spans="1:5" x14ac:dyDescent="0.3">
      <c r="A34" t="str">
        <f>Raw_Data!B34</f>
        <v>Hala</v>
      </c>
      <c r="B34" s="2">
        <f>SUM(Raw_Data!D34:G34)</f>
        <v>349</v>
      </c>
      <c r="C34" s="2">
        <f>AVERAGE(Raw_Data!D34:G34)</f>
        <v>87.25</v>
      </c>
      <c r="D34" t="str">
        <f t="shared" si="0"/>
        <v>Very Good</v>
      </c>
      <c r="E34" t="str">
        <f>Raw_Data!C34</f>
        <v>CS</v>
      </c>
    </row>
    <row r="35" spans="1:5" x14ac:dyDescent="0.3">
      <c r="A35" t="str">
        <f>Raw_Data!B35</f>
        <v>Alya</v>
      </c>
      <c r="B35" s="2">
        <f>SUM(Raw_Data!D35:G35)</f>
        <v>315</v>
      </c>
      <c r="C35" s="2">
        <f>AVERAGE(Raw_Data!D35:G35)</f>
        <v>78.75</v>
      </c>
      <c r="D35" t="str">
        <f t="shared" si="0"/>
        <v>Good</v>
      </c>
      <c r="E35" t="str">
        <f>Raw_Data!C35</f>
        <v>IT</v>
      </c>
    </row>
    <row r="36" spans="1:5" x14ac:dyDescent="0.3">
      <c r="A36" t="str">
        <f>Raw_Data!B36</f>
        <v>Hessa</v>
      </c>
      <c r="B36" s="2">
        <f>SUM(Raw_Data!D36:G36)</f>
        <v>324</v>
      </c>
      <c r="C36" s="2">
        <f>AVERAGE(Raw_Data!D36:G36)</f>
        <v>81</v>
      </c>
      <c r="D36" t="str">
        <f t="shared" si="0"/>
        <v>Very Good</v>
      </c>
      <c r="E36" t="str">
        <f>Raw_Data!C36</f>
        <v>IT</v>
      </c>
    </row>
    <row r="37" spans="1:5" x14ac:dyDescent="0.3">
      <c r="A37" t="str">
        <f>Raw_Data!B37</f>
        <v>Reem</v>
      </c>
      <c r="B37" s="2">
        <f>SUM(Raw_Data!D37:G37)</f>
        <v>296</v>
      </c>
      <c r="C37" s="2">
        <f>AVERAGE(Raw_Data!D37:G37)</f>
        <v>74</v>
      </c>
      <c r="D37" t="str">
        <f t="shared" si="0"/>
        <v>Good</v>
      </c>
      <c r="E37" t="str">
        <f>Raw_Data!C37</f>
        <v>SE</v>
      </c>
    </row>
    <row r="38" spans="1:5" x14ac:dyDescent="0.3">
      <c r="A38" t="str">
        <f>Raw_Data!B38</f>
        <v>Sara</v>
      </c>
      <c r="B38" s="2">
        <f>SUM(Raw_Data!D38:G38)</f>
        <v>356</v>
      </c>
      <c r="C38" s="2">
        <f>AVERAGE(Raw_Data!D38:G38)</f>
        <v>89</v>
      </c>
      <c r="D38" t="str">
        <f t="shared" si="0"/>
        <v>Very Good</v>
      </c>
      <c r="E38" t="str">
        <f>Raw_Data!C38</f>
        <v>IT</v>
      </c>
    </row>
    <row r="39" spans="1:5" x14ac:dyDescent="0.3">
      <c r="A39" t="str">
        <f>Raw_Data!B39</f>
        <v>Amal</v>
      </c>
      <c r="B39" s="2">
        <f>SUM(Raw_Data!D39:G39)</f>
        <v>310</v>
      </c>
      <c r="C39" s="2">
        <f>AVERAGE(Raw_Data!D39:G39)</f>
        <v>77.5</v>
      </c>
      <c r="D39" t="str">
        <f t="shared" si="0"/>
        <v>Good</v>
      </c>
      <c r="E39" t="str">
        <f>Raw_Data!C39</f>
        <v>CS</v>
      </c>
    </row>
    <row r="40" spans="1:5" x14ac:dyDescent="0.3">
      <c r="A40" t="str">
        <f>Raw_Data!B40</f>
        <v>Hala</v>
      </c>
      <c r="B40" s="2">
        <f>SUM(Raw_Data!D40:G40)</f>
        <v>326</v>
      </c>
      <c r="C40" s="2">
        <f>AVERAGE(Raw_Data!D40:G40)</f>
        <v>81.5</v>
      </c>
      <c r="D40" t="str">
        <f t="shared" si="0"/>
        <v>Very Good</v>
      </c>
      <c r="E40" t="str">
        <f>Raw_Data!C40</f>
        <v>SE</v>
      </c>
    </row>
    <row r="41" spans="1:5" x14ac:dyDescent="0.3">
      <c r="A41" t="str">
        <f>Raw_Data!B41</f>
        <v>Amal</v>
      </c>
      <c r="B41" s="2">
        <f>SUM(Raw_Data!D41:G41)</f>
        <v>314</v>
      </c>
      <c r="C41" s="2">
        <f>AVERAGE(Raw_Data!D41:G41)</f>
        <v>78.5</v>
      </c>
      <c r="D41" t="str">
        <f t="shared" si="0"/>
        <v>Good</v>
      </c>
      <c r="E41" t="str">
        <f>Raw_Data!C41</f>
        <v>SE</v>
      </c>
    </row>
    <row r="42" spans="1:5" x14ac:dyDescent="0.3">
      <c r="A42" t="str">
        <f>Raw_Data!B42</f>
        <v>Hind</v>
      </c>
      <c r="B42" s="2">
        <f>SUM(Raw_Data!D42:G42)</f>
        <v>319</v>
      </c>
      <c r="C42" s="2">
        <f>AVERAGE(Raw_Data!D42:G42)</f>
        <v>79.75</v>
      </c>
      <c r="D42" t="str">
        <f t="shared" si="0"/>
        <v>Good</v>
      </c>
      <c r="E42" t="str">
        <f>Raw_Data!C42</f>
        <v>IT</v>
      </c>
    </row>
    <row r="43" spans="1:5" x14ac:dyDescent="0.3">
      <c r="A43" t="str">
        <f>Raw_Data!B43</f>
        <v>Yara</v>
      </c>
      <c r="B43" s="2">
        <f>SUM(Raw_Data!D43:G43)</f>
        <v>327</v>
      </c>
      <c r="C43" s="2">
        <f>AVERAGE(Raw_Data!D43:G43)</f>
        <v>81.75</v>
      </c>
      <c r="D43" t="str">
        <f t="shared" si="0"/>
        <v>Very Good</v>
      </c>
      <c r="E43" t="str">
        <f>Raw_Data!C43</f>
        <v>SE</v>
      </c>
    </row>
    <row r="44" spans="1:5" x14ac:dyDescent="0.3">
      <c r="A44" t="str">
        <f>Raw_Data!B44</f>
        <v>Rania</v>
      </c>
      <c r="B44" s="2">
        <f>SUM(Raw_Data!D44:G44)</f>
        <v>317</v>
      </c>
      <c r="C44" s="2">
        <f>AVERAGE(Raw_Data!D44:G44)</f>
        <v>79.25</v>
      </c>
      <c r="D44" t="str">
        <f t="shared" si="0"/>
        <v>Good</v>
      </c>
      <c r="E44" t="str">
        <f>Raw_Data!C44</f>
        <v>SE</v>
      </c>
    </row>
    <row r="45" spans="1:5" x14ac:dyDescent="0.3">
      <c r="A45" t="str">
        <f>Raw_Data!B45</f>
        <v>Rania</v>
      </c>
      <c r="B45" s="2">
        <f>SUM(Raw_Data!D45:G45)</f>
        <v>351</v>
      </c>
      <c r="C45" s="2">
        <f>AVERAGE(Raw_Data!D45:G45)</f>
        <v>87.75</v>
      </c>
      <c r="D45" t="str">
        <f t="shared" si="0"/>
        <v>Very Good</v>
      </c>
      <c r="E45" t="str">
        <f>Raw_Data!C45</f>
        <v>SE</v>
      </c>
    </row>
    <row r="46" spans="1:5" x14ac:dyDescent="0.3">
      <c r="A46" t="str">
        <f>Raw_Data!B46</f>
        <v>Hala</v>
      </c>
      <c r="B46" s="2">
        <f>SUM(Raw_Data!D46:G46)</f>
        <v>249</v>
      </c>
      <c r="C46" s="2">
        <f>AVERAGE(Raw_Data!D46:G46)</f>
        <v>62.25</v>
      </c>
      <c r="D46" t="str">
        <f t="shared" si="0"/>
        <v>Pass</v>
      </c>
      <c r="E46" t="str">
        <f>Raw_Data!C46</f>
        <v>CS</v>
      </c>
    </row>
    <row r="47" spans="1:5" x14ac:dyDescent="0.3">
      <c r="A47" t="str">
        <f>Raw_Data!B47</f>
        <v>Alya</v>
      </c>
      <c r="B47" s="2">
        <f>SUM(Raw_Data!D47:G47)</f>
        <v>320</v>
      </c>
      <c r="C47" s="2">
        <f>AVERAGE(Raw_Data!D47:G47)</f>
        <v>80</v>
      </c>
      <c r="D47" t="str">
        <f t="shared" si="0"/>
        <v>Very Good</v>
      </c>
      <c r="E47" t="str">
        <f>Raw_Data!C47</f>
        <v>CS</v>
      </c>
    </row>
    <row r="48" spans="1:5" x14ac:dyDescent="0.3">
      <c r="A48" t="str">
        <f>Raw_Data!B48</f>
        <v>Hessa</v>
      </c>
      <c r="B48" s="2">
        <f>SUM(Raw_Data!D48:G48)</f>
        <v>343</v>
      </c>
      <c r="C48" s="2">
        <f>AVERAGE(Raw_Data!D48:G48)</f>
        <v>85.75</v>
      </c>
      <c r="D48" t="str">
        <f t="shared" si="0"/>
        <v>Very Good</v>
      </c>
      <c r="E48" t="str">
        <f>Raw_Data!C48</f>
        <v>SE</v>
      </c>
    </row>
    <row r="49" spans="1:5" x14ac:dyDescent="0.3">
      <c r="A49" t="str">
        <f>Raw_Data!B49</f>
        <v>Abeer</v>
      </c>
      <c r="B49" s="2">
        <f>SUM(Raw_Data!D49:G49)</f>
        <v>322</v>
      </c>
      <c r="C49" s="2">
        <f>AVERAGE(Raw_Data!D49:G49)</f>
        <v>80.5</v>
      </c>
      <c r="D49" t="str">
        <f t="shared" si="0"/>
        <v>Very Good</v>
      </c>
      <c r="E49" t="str">
        <f>Raw_Data!C49</f>
        <v>IT</v>
      </c>
    </row>
    <row r="50" spans="1:5" x14ac:dyDescent="0.3">
      <c r="A50" t="str">
        <f>Raw_Data!B50</f>
        <v>Yara</v>
      </c>
      <c r="B50" s="2">
        <f>SUM(Raw_Data!D50:G50)</f>
        <v>322</v>
      </c>
      <c r="C50" s="2">
        <f>AVERAGE(Raw_Data!D50:G50)</f>
        <v>80.5</v>
      </c>
      <c r="D50" t="str">
        <f t="shared" si="0"/>
        <v>Very Good</v>
      </c>
      <c r="E50" t="str">
        <f>Raw_Data!C50</f>
        <v>SE</v>
      </c>
    </row>
    <row r="51" spans="1:5" x14ac:dyDescent="0.3">
      <c r="A51" t="str">
        <f>Raw_Data!B51</f>
        <v>Yara</v>
      </c>
      <c r="B51" s="2">
        <f>SUM(Raw_Data!D51:G51)</f>
        <v>290</v>
      </c>
      <c r="C51" s="2">
        <f>AVERAGE(Raw_Data!D51:G51)</f>
        <v>72.5</v>
      </c>
      <c r="D51" t="str">
        <f t="shared" si="0"/>
        <v>Good</v>
      </c>
      <c r="E51" t="str">
        <f>Raw_Data!C51</f>
        <v>SE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8389-CFD3-4890-82A6-D447DB6C6606}">
  <dimension ref="N42"/>
  <sheetViews>
    <sheetView showGridLines="0" showRowColHeaders="0" workbookViewId="0">
      <selection activeCell="N42" sqref="N42"/>
    </sheetView>
  </sheetViews>
  <sheetFormatPr defaultRowHeight="14.4" x14ac:dyDescent="0.3"/>
  <cols>
    <col min="1" max="1" width="8.88671875" customWidth="1"/>
  </cols>
  <sheetData>
    <row r="42" spans="14:14" x14ac:dyDescent="0.3">
      <c r="N42" t="s">
        <v>81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ARWA ALZAHRANI</dc:creator>
  <cp:lastModifiedBy>ARWA ALZAHRANI</cp:lastModifiedBy>
  <dcterms:created xsi:type="dcterms:W3CDTF">2026-01-31T23:20:02Z</dcterms:created>
  <dcterms:modified xsi:type="dcterms:W3CDTF">2026-02-02T01:41:02Z</dcterms:modified>
</cp:coreProperties>
</file>